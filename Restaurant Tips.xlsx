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tistical Analysis" sheetId="1" r:id="rId5"/>
  </sheets>
  <definedNames/>
  <calcPr/>
</workbook>
</file>

<file path=xl/sharedStrings.xml><?xml version="1.0" encoding="utf-8"?>
<sst xmlns="http://schemas.openxmlformats.org/spreadsheetml/2006/main" count="27" uniqueCount="24">
  <si>
    <t>Category</t>
  </si>
  <si>
    <t>Segment</t>
  </si>
  <si>
    <t>Mean</t>
  </si>
  <si>
    <t>St. Dev.</t>
  </si>
  <si>
    <t>Sample</t>
  </si>
  <si>
    <t>Type of Test</t>
  </si>
  <si>
    <t>Z / T Value</t>
  </si>
  <si>
    <t>Z / T Value (0.05)</t>
  </si>
  <si>
    <t>Result</t>
  </si>
  <si>
    <t>Sex</t>
  </si>
  <si>
    <t>Female</t>
  </si>
  <si>
    <t>Z</t>
  </si>
  <si>
    <t>Male</t>
  </si>
  <si>
    <t>Day</t>
  </si>
  <si>
    <t>Friday</t>
  </si>
  <si>
    <t>T</t>
  </si>
  <si>
    <t>Saturday</t>
  </si>
  <si>
    <t>Time</t>
  </si>
  <si>
    <t>Lunch</t>
  </si>
  <si>
    <t>Dinner</t>
  </si>
  <si>
    <t>Smoker</t>
  </si>
  <si>
    <t>Yes</t>
  </si>
  <si>
    <t>No</t>
  </si>
  <si>
    <t>Size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</si>
</sst>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center"/>
    </xf>
    <xf borderId="0" fillId="0" fontId="1" numFmtId="0" xfId="0" applyAlignment="1" applyFont="1">
      <alignment horizontal="center" vertical="center"/>
    </xf>
    <xf borderId="2" fillId="0" fontId="1" numFmtId="0" xfId="0" applyAlignment="1" applyBorder="1" applyFont="1">
      <alignment horizontal="center" readingOrder="0" vertical="center"/>
    </xf>
    <xf borderId="2" fillId="0" fontId="1" numFmtId="2" xfId="0" applyAlignment="1" applyBorder="1" applyFont="1" applyNumberFormat="1">
      <alignment horizontal="center" readingOrder="0" vertical="center"/>
    </xf>
    <xf borderId="2" fillId="0" fontId="1" numFmtId="2" xfId="0" applyAlignment="1" applyBorder="1" applyFont="1" applyNumberFormat="1">
      <alignment horizontal="center" readingOrder="0" shrinkToFit="0" vertical="center" wrapText="1"/>
    </xf>
    <xf borderId="3" fillId="0" fontId="2" numFmtId="0" xfId="0" applyBorder="1" applyFont="1"/>
    <xf borderId="0" fillId="0" fontId="1" numFmtId="0" xfId="0" applyAlignment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13.88"/>
    <col customWidth="1" min="9" max="9" width="19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9</v>
      </c>
      <c r="B2" s="1" t="s">
        <v>10</v>
      </c>
      <c r="C2" s="1">
        <v>16.65</v>
      </c>
      <c r="D2" s="1">
        <v>5.36</v>
      </c>
      <c r="E2" s="1">
        <v>87.0</v>
      </c>
      <c r="F2" s="3" t="s">
        <v>11</v>
      </c>
      <c r="G2" s="4">
        <f>(C2-C3)/SQRT(D2^2/E2+D3^2/E3)</f>
        <v>1.151212831</v>
      </c>
      <c r="H2" s="4">
        <v>1.65</v>
      </c>
      <c r="I2" s="5" t="str">
        <f>If(G2&lt;H2,"Not enough evidence", "Reject H0")</f>
        <v>Not enough evidence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6"/>
      <c r="B3" s="1" t="s">
        <v>12</v>
      </c>
      <c r="C3" s="1">
        <v>15.76</v>
      </c>
      <c r="D3" s="1">
        <v>6.48</v>
      </c>
      <c r="E3" s="1">
        <v>157.0</v>
      </c>
      <c r="F3" s="6"/>
      <c r="G3" s="6"/>
      <c r="H3" s="6"/>
      <c r="I3" s="6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" t="s">
        <v>13</v>
      </c>
      <c r="B4" s="1" t="s">
        <v>14</v>
      </c>
      <c r="C4" s="1">
        <v>16.99</v>
      </c>
      <c r="D4" s="1">
        <v>4.77</v>
      </c>
      <c r="E4" s="1">
        <v>19.0</v>
      </c>
      <c r="F4" s="3" t="s">
        <v>15</v>
      </c>
      <c r="G4" s="4">
        <f>(C4-C5)/SQRT(D4^2/E4+D5^2/E5)</f>
        <v>1.371707783</v>
      </c>
      <c r="H4" s="4">
        <v>1.73</v>
      </c>
      <c r="I4" s="5" t="str">
        <f>If(G4&lt;H4,"Not enough evidence", "Reject H0")</f>
        <v>Not enough evidence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6"/>
      <c r="B5" s="1" t="s">
        <v>16</v>
      </c>
      <c r="C5" s="1">
        <v>15.31</v>
      </c>
      <c r="D5" s="1">
        <v>5.13</v>
      </c>
      <c r="E5" s="1">
        <v>87.0</v>
      </c>
      <c r="F5" s="6"/>
      <c r="G5" s="6"/>
      <c r="H5" s="6"/>
      <c r="I5" s="6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3" t="s">
        <v>17</v>
      </c>
      <c r="B6" s="1" t="s">
        <v>18</v>
      </c>
      <c r="C6" s="1">
        <v>16.41</v>
      </c>
      <c r="D6" s="1">
        <v>4.02</v>
      </c>
      <c r="E6" s="1">
        <v>68.0</v>
      </c>
      <c r="F6" s="3" t="s">
        <v>11</v>
      </c>
      <c r="G6" s="4">
        <f>(C6-C7)/SQRT(D6^2/E6+D7^2/E7)</f>
        <v>0.6528069102</v>
      </c>
      <c r="H6" s="4">
        <v>1.65</v>
      </c>
      <c r="I6" s="5" t="str">
        <f>If(G6&lt;H6,"Not enough evidence", "Reject H0")</f>
        <v>Not enough evidence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6"/>
      <c r="B7" s="1" t="s">
        <v>19</v>
      </c>
      <c r="C7" s="1">
        <v>15.95</v>
      </c>
      <c r="D7" s="1">
        <v>6.75</v>
      </c>
      <c r="E7" s="1">
        <v>176.0</v>
      </c>
      <c r="F7" s="6"/>
      <c r="G7" s="6"/>
      <c r="H7" s="6"/>
      <c r="I7" s="6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3" t="s">
        <v>20</v>
      </c>
      <c r="B8" s="1" t="s">
        <v>21</v>
      </c>
      <c r="C8" s="1">
        <v>16.32</v>
      </c>
      <c r="D8" s="1">
        <v>8.51</v>
      </c>
      <c r="E8" s="1">
        <v>93.0</v>
      </c>
      <c r="F8" s="3" t="s">
        <v>11</v>
      </c>
      <c r="G8" s="4">
        <f>(C8-C9)/SQRT(D8^2/E8+D9^2/E9)</f>
        <v>0.4147664562</v>
      </c>
      <c r="H8" s="4">
        <v>1.65</v>
      </c>
      <c r="I8" s="5" t="str">
        <f>If(G8&lt;H8,"Not enough evidence", "Reject H0")</f>
        <v>Not enough evidence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6"/>
      <c r="B9" s="1" t="s">
        <v>22</v>
      </c>
      <c r="C9" s="1">
        <v>15.93</v>
      </c>
      <c r="D9" s="1">
        <v>3.99</v>
      </c>
      <c r="E9" s="1">
        <v>151.0</v>
      </c>
      <c r="F9" s="6"/>
      <c r="G9" s="6"/>
      <c r="H9" s="6"/>
      <c r="I9" s="6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3" t="s">
        <v>23</v>
      </c>
      <c r="B10" s="1">
        <v>1.0</v>
      </c>
      <c r="C10" s="1">
        <v>21.73</v>
      </c>
      <c r="D10" s="1">
        <v>8.03</v>
      </c>
      <c r="E10" s="1">
        <v>4.0</v>
      </c>
      <c r="F10" s="3" t="s">
        <v>15</v>
      </c>
      <c r="G10" s="4">
        <f>(C10-C11)/SQRT(D10^2/E10+D11^2/E11)</f>
        <v>1.507378185</v>
      </c>
      <c r="H10" s="4">
        <v>2.35</v>
      </c>
      <c r="I10" s="5" t="str">
        <f>If(G10&lt;H10,"Not enough evidence", "Reject H0")</f>
        <v>Not enough evidence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6"/>
      <c r="B11" s="1">
        <v>5.0</v>
      </c>
      <c r="C11" s="1">
        <v>14.15</v>
      </c>
      <c r="D11" s="1">
        <v>6.77</v>
      </c>
      <c r="E11" s="1">
        <v>5.0</v>
      </c>
      <c r="F11" s="6"/>
      <c r="G11" s="6"/>
      <c r="H11" s="6"/>
      <c r="I11" s="6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"/>
      <c r="B14" s="7"/>
      <c r="C14" s="7"/>
      <c r="D14" s="7"/>
      <c r="E14" s="7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"/>
      <c r="B15" s="7"/>
      <c r="C15" s="7"/>
      <c r="D15" s="7"/>
      <c r="E15" s="7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"/>
      <c r="B16" s="7"/>
      <c r="C16" s="7"/>
      <c r="D16" s="7"/>
      <c r="E16" s="7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"/>
      <c r="B17" s="7"/>
      <c r="C17" s="7"/>
      <c r="D17" s="7"/>
      <c r="E17" s="7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</sheetData>
  <mergeCells count="25">
    <mergeCell ref="A2:A3"/>
    <mergeCell ref="A6:A7"/>
    <mergeCell ref="A8:A9"/>
    <mergeCell ref="A4:A5"/>
    <mergeCell ref="A10:A11"/>
    <mergeCell ref="F2:F3"/>
    <mergeCell ref="F8:F9"/>
    <mergeCell ref="F10:F11"/>
    <mergeCell ref="H6:H7"/>
    <mergeCell ref="H4:H5"/>
    <mergeCell ref="H2:H3"/>
    <mergeCell ref="H8:H9"/>
    <mergeCell ref="H10:H11"/>
    <mergeCell ref="F6:F7"/>
    <mergeCell ref="F4:F5"/>
    <mergeCell ref="G6:G7"/>
    <mergeCell ref="G4:G5"/>
    <mergeCell ref="G2:G3"/>
    <mergeCell ref="G8:G9"/>
    <mergeCell ref="G10:G11"/>
    <mergeCell ref="I2:I3"/>
    <mergeCell ref="I10:I11"/>
    <mergeCell ref="I8:I9"/>
    <mergeCell ref="I4:I5"/>
    <mergeCell ref="I6:I7"/>
  </mergeCells>
  <drawing r:id="rId1"/>
</worksheet>
</file>